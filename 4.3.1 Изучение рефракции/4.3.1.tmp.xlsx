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1 (1)" sheetId="2" r:id="rId5"/>
  </sheets>
  <definedNames/>
  <calcPr/>
</workbook>
</file>

<file path=xl/sharedStrings.xml><?xml version="1.0" encoding="utf-8"?>
<sst xmlns="http://schemas.openxmlformats.org/spreadsheetml/2006/main" count="28" uniqueCount="25">
  <si>
    <t>m</t>
  </si>
  <si>
    <t>z</t>
  </si>
  <si>
    <t>1/z</t>
  </si>
  <si>
    <t>merr</t>
  </si>
  <si>
    <t>1/zerr</t>
  </si>
  <si>
    <t>2xi</t>
  </si>
  <si>
    <t>sigma2xi</t>
  </si>
  <si>
    <t>L,см</t>
  </si>
  <si>
    <t>lambda A</t>
  </si>
  <si>
    <t>lambda см</t>
  </si>
  <si>
    <t>n</t>
  </si>
  <si>
    <t>x,см</t>
  </si>
  <si>
    <t>z,см</t>
  </si>
  <si>
    <t>2xi_n,мкм</t>
  </si>
  <si>
    <t>sigma xi</t>
  </si>
  <si>
    <t>отн</t>
  </si>
  <si>
    <t>z^-1</t>
  </si>
  <si>
    <t>sigma x</t>
  </si>
  <si>
    <t>sigma z</t>
  </si>
  <si>
    <t>F2, мм</t>
  </si>
  <si>
    <t>Lambda, мм</t>
  </si>
  <si>
    <t>sigma X_m</t>
  </si>
  <si>
    <t>X_m, mm</t>
  </si>
  <si>
    <t>b,mkm</t>
  </si>
  <si>
    <t>sigma_b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</si>
</sst>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4">
    <font>
      <sz val="10.0"/>
      <color rgb="FF000000"/>
      <name val="Calibri"/>
      <scheme val="minor"/>
    </font>
    <font>
      <sz val="10.0"/>
      <color rgb="FF000000"/>
      <name val="Arimo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1" numFmtId="0" xfId="0" applyFont="1"/>
    <xf borderId="0" fillId="0" fontId="2" numFmtId="1" xfId="0" applyFont="1" applyNumberFormat="1"/>
    <xf borderId="0" fillId="0" fontId="2" numFmtId="2" xfId="0" applyAlignment="1" applyFont="1" applyNumberFormat="1">
      <alignment readingOrder="0"/>
    </xf>
    <xf borderId="0" fillId="0" fontId="3" numFmtId="165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График зависимости 2ξn от 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'Sheet1 (1)'!$C$7:$C$12</c:f>
            </c:numRef>
          </c:xVal>
          <c:yVal>
            <c:numRef>
              <c:f>'Sheet1 (1)'!$F$7:$F$12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380034"/>
        <c:axId val="1772372662"/>
      </c:scatterChart>
      <c:valAx>
        <c:axId val="19143800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2372662"/>
      </c:valAx>
      <c:valAx>
        <c:axId val="1772372662"/>
        <c:scaling>
          <c:orientation val="minMax"/>
          <c:min val="0.0200000000000000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 2ξn, см 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438003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График зависимости Xm от 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'Sheet1 (1)'!$B$41:$B$50</c:f>
            </c:numRef>
          </c:xVal>
          <c:yVal>
            <c:numRef>
              <c:f>'Sheet1 (1)'!$C$41:$C$50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959675"/>
        <c:axId val="1188762161"/>
      </c:scatterChart>
      <c:valAx>
        <c:axId val="12449596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5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50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8762161"/>
      </c:valAx>
      <c:valAx>
        <c:axId val="1188762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5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500">
                    <a:solidFill>
                      <a:srgbClr val="000000"/>
                    </a:solidFill>
                    <a:latin typeface="+mn-lt"/>
                  </a:rPr>
                  <a:t>Xm, мм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4959675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10</xdr:row>
      <xdr:rowOff>104775</xdr:rowOff>
    </xdr:from>
    <xdr:ext cx="7419975" cy="3524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37</xdr:row>
      <xdr:rowOff>114300</xdr:rowOff>
    </xdr:from>
    <xdr:ext cx="7477125" cy="44958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6" width="8.71"/>
    <col customWidth="1" min="7" max="7" width="11.0"/>
    <col customWidth="1" min="8" max="26" width="8.71"/>
  </cols>
  <sheetData>
    <row r="1" ht="14.25" customHeight="1">
      <c r="A1" s="1"/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R1" s="2" t="s">
        <v>0</v>
      </c>
      <c r="S1" s="2" t="s">
        <v>5</v>
      </c>
      <c r="T1" s="2" t="s">
        <v>6</v>
      </c>
    </row>
    <row r="2" ht="14.25" customHeight="1">
      <c r="A2" s="1"/>
      <c r="C2" s="3" t="s">
        <v>7</v>
      </c>
      <c r="L2" s="3">
        <v>2.0</v>
      </c>
      <c r="M2" s="3">
        <v>2.700000000000003</v>
      </c>
      <c r="N2" s="4">
        <f t="shared" ref="N2:N7" si="1">1/M2</f>
        <v>0.3703703704</v>
      </c>
      <c r="O2" s="2">
        <v>0.0</v>
      </c>
      <c r="P2" s="3">
        <f t="shared" ref="P2:P7" si="2">$E$15*N2</f>
        <v>0.07407407407</v>
      </c>
      <c r="R2" s="3">
        <v>2.0</v>
      </c>
      <c r="S2" s="3">
        <v>353.3383647440512</v>
      </c>
      <c r="T2" s="3">
        <v>13.086606101631514</v>
      </c>
    </row>
    <row r="3" ht="14.25" customHeight="1">
      <c r="A3" s="1"/>
      <c r="C3" s="2">
        <v>48.5</v>
      </c>
      <c r="E3" s="3" t="s">
        <v>8</v>
      </c>
      <c r="G3" s="3" t="s">
        <v>9</v>
      </c>
      <c r="L3" s="3">
        <v>3.0</v>
      </c>
      <c r="M3" s="3">
        <v>2.299999999999997</v>
      </c>
      <c r="N3" s="4">
        <f t="shared" si="1"/>
        <v>0.4347826087</v>
      </c>
      <c r="O3" s="2">
        <v>0.0</v>
      </c>
      <c r="P3" s="3">
        <f t="shared" si="2"/>
        <v>0.08695652174</v>
      </c>
      <c r="R3" s="3">
        <v>3.0</v>
      </c>
      <c r="S3" s="3">
        <v>399.4095642320046</v>
      </c>
      <c r="T3" s="3">
        <v>17.365633227478483</v>
      </c>
    </row>
    <row r="4" ht="14.25" customHeight="1">
      <c r="A4" s="1"/>
      <c r="E4" s="2">
        <v>5780.0</v>
      </c>
      <c r="G4" s="3">
        <f>E4*10^(-8)</f>
        <v>0.0000578</v>
      </c>
      <c r="L4" s="3">
        <v>4.0</v>
      </c>
      <c r="M4" s="3">
        <v>1.7000000000000028</v>
      </c>
      <c r="N4" s="4">
        <f t="shared" si="1"/>
        <v>0.5882352941</v>
      </c>
      <c r="O4" s="2">
        <v>0.0</v>
      </c>
      <c r="P4" s="3">
        <f t="shared" si="2"/>
        <v>0.1176470588</v>
      </c>
      <c r="R4" s="3">
        <v>4.0</v>
      </c>
      <c r="S4" s="3">
        <v>396.5047288494808</v>
      </c>
      <c r="T4" s="3">
        <v>23.323807579381185</v>
      </c>
    </row>
    <row r="5" ht="14.25" customHeight="1">
      <c r="A5" s="5"/>
      <c r="L5" s="3">
        <v>5.0</v>
      </c>
      <c r="M5" s="3">
        <v>1.2000000000000028</v>
      </c>
      <c r="N5" s="4">
        <f t="shared" si="1"/>
        <v>0.8333333333</v>
      </c>
      <c r="O5" s="2">
        <v>0.0</v>
      </c>
      <c r="P5" s="3">
        <f t="shared" si="2"/>
        <v>0.1666666667</v>
      </c>
      <c r="R5" s="3">
        <v>5.0</v>
      </c>
      <c r="S5" s="3">
        <v>372.4513391035134</v>
      </c>
      <c r="T5" s="3">
        <v>31.037611591959376</v>
      </c>
    </row>
    <row r="6" ht="14.25" customHeight="1">
      <c r="B6" s="2" t="s">
        <v>10</v>
      </c>
      <c r="C6" s="2" t="s">
        <v>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2" t="s">
        <v>16</v>
      </c>
      <c r="L6" s="3">
        <v>6.0</v>
      </c>
      <c r="M6" s="3">
        <v>0.8999999999999986</v>
      </c>
      <c r="N6" s="4">
        <f t="shared" si="1"/>
        <v>1.111111111</v>
      </c>
      <c r="O6" s="2">
        <v>0.0</v>
      </c>
      <c r="P6" s="3">
        <f t="shared" si="2"/>
        <v>0.2222222222</v>
      </c>
      <c r="R6" s="3">
        <v>6.0</v>
      </c>
      <c r="S6" s="3">
        <v>353.3383647440507</v>
      </c>
      <c r="T6" s="3">
        <v>39.25981830489459</v>
      </c>
    </row>
    <row r="7" ht="14.25" customHeight="1">
      <c r="B7" s="3">
        <v>1.0</v>
      </c>
      <c r="C7" s="3">
        <v>2.0</v>
      </c>
      <c r="D7" s="2">
        <v>51.2</v>
      </c>
      <c r="E7" s="3">
        <f t="shared" ref="E7:E12" si="3">-$C$3+D7</f>
        <v>2.7</v>
      </c>
      <c r="F7" s="6">
        <f t="shared" ref="F7:F12" si="4">SQRT(E7*C7*$G$4)*2 * 10^4</f>
        <v>353.3383647</v>
      </c>
      <c r="G7" s="6">
        <f t="shared" ref="G7:G12" si="5">F7/2 * ($E$15/E7)</f>
        <v>13.0866061</v>
      </c>
      <c r="H7" s="3">
        <f t="shared" ref="H7:H12" si="6">2*G7/F7</f>
        <v>0.07407407407</v>
      </c>
      <c r="I7" s="3">
        <f t="shared" ref="I7:I12" si="7">1/E7</f>
        <v>0.3703703704</v>
      </c>
      <c r="L7" s="2">
        <v>7.0</v>
      </c>
      <c r="M7" s="3">
        <v>0.7999999999999972</v>
      </c>
      <c r="N7" s="4">
        <f t="shared" si="1"/>
        <v>1.25</v>
      </c>
      <c r="O7" s="2">
        <v>0.0</v>
      </c>
      <c r="P7" s="3">
        <f t="shared" si="2"/>
        <v>0.25</v>
      </c>
      <c r="R7" s="2">
        <v>7.0</v>
      </c>
      <c r="S7" s="3">
        <v>359.8221783047837</v>
      </c>
      <c r="T7" s="3">
        <v>44.977772288098116</v>
      </c>
    </row>
    <row r="8" ht="14.25" customHeight="1">
      <c r="B8" s="3">
        <v>2.0</v>
      </c>
      <c r="C8" s="3">
        <v>3.0</v>
      </c>
      <c r="D8" s="2">
        <v>50.8</v>
      </c>
      <c r="E8" s="3">
        <f t="shared" si="3"/>
        <v>2.3</v>
      </c>
      <c r="F8" s="6">
        <f t="shared" si="4"/>
        <v>399.4095642</v>
      </c>
      <c r="G8" s="6">
        <f t="shared" si="5"/>
        <v>17.36563323</v>
      </c>
      <c r="H8" s="3">
        <f t="shared" si="6"/>
        <v>0.08695652174</v>
      </c>
      <c r="I8" s="3">
        <f t="shared" si="7"/>
        <v>0.4347826087</v>
      </c>
    </row>
    <row r="9" ht="14.25" customHeight="1">
      <c r="B9" s="3">
        <v>3.0</v>
      </c>
      <c r="C9" s="3">
        <v>4.0</v>
      </c>
      <c r="D9" s="2">
        <v>50.2</v>
      </c>
      <c r="E9" s="3">
        <f t="shared" si="3"/>
        <v>1.7</v>
      </c>
      <c r="F9" s="6">
        <f t="shared" si="4"/>
        <v>396.5047288</v>
      </c>
      <c r="G9" s="6">
        <f t="shared" si="5"/>
        <v>23.32380758</v>
      </c>
      <c r="H9" s="3">
        <f t="shared" si="6"/>
        <v>0.1176470588</v>
      </c>
      <c r="I9" s="3">
        <f t="shared" si="7"/>
        <v>0.5882352941</v>
      </c>
    </row>
    <row r="10" ht="14.25" customHeight="1">
      <c r="B10" s="3">
        <v>4.0</v>
      </c>
      <c r="C10" s="3">
        <v>5.0</v>
      </c>
      <c r="D10" s="2">
        <v>49.7</v>
      </c>
      <c r="E10" s="3">
        <f t="shared" si="3"/>
        <v>1.2</v>
      </c>
      <c r="F10" s="6">
        <f t="shared" si="4"/>
        <v>372.4513391</v>
      </c>
      <c r="G10" s="6">
        <f t="shared" si="5"/>
        <v>31.03761159</v>
      </c>
      <c r="H10" s="3">
        <f t="shared" si="6"/>
        <v>0.1666666667</v>
      </c>
      <c r="I10" s="3">
        <f t="shared" si="7"/>
        <v>0.8333333333</v>
      </c>
    </row>
    <row r="11" ht="14.25" customHeight="1">
      <c r="B11" s="3">
        <v>5.0</v>
      </c>
      <c r="C11" s="3">
        <v>6.0</v>
      </c>
      <c r="D11" s="2">
        <v>49.4</v>
      </c>
      <c r="E11" s="3">
        <f t="shared" si="3"/>
        <v>0.9</v>
      </c>
      <c r="F11" s="6">
        <f t="shared" si="4"/>
        <v>353.3383647</v>
      </c>
      <c r="G11" s="6">
        <f t="shared" si="5"/>
        <v>39.2598183</v>
      </c>
      <c r="H11" s="3">
        <f t="shared" si="6"/>
        <v>0.2222222222</v>
      </c>
      <c r="I11" s="3">
        <f t="shared" si="7"/>
        <v>1.111111111</v>
      </c>
    </row>
    <row r="12" ht="14.25" customHeight="1">
      <c r="B12" s="2">
        <v>6.0</v>
      </c>
      <c r="C12" s="2">
        <v>7.0</v>
      </c>
      <c r="D12" s="2">
        <v>49.3</v>
      </c>
      <c r="E12" s="3">
        <f t="shared" si="3"/>
        <v>0.8</v>
      </c>
      <c r="F12" s="6">
        <f t="shared" si="4"/>
        <v>359.8221783</v>
      </c>
      <c r="G12" s="6">
        <f t="shared" si="5"/>
        <v>44.97777229</v>
      </c>
      <c r="H12" s="3">
        <f t="shared" si="6"/>
        <v>0.25</v>
      </c>
      <c r="I12" s="3">
        <f t="shared" si="7"/>
        <v>1.25</v>
      </c>
    </row>
    <row r="13" ht="14.25" customHeight="1"/>
    <row r="14" ht="14.25" customHeight="1">
      <c r="D14" s="3" t="s">
        <v>17</v>
      </c>
      <c r="E14" s="3" t="s">
        <v>18</v>
      </c>
    </row>
    <row r="15" ht="14.25" customHeight="1">
      <c r="D15" s="3">
        <v>0.14</v>
      </c>
      <c r="E15" s="3">
        <v>0.2</v>
      </c>
    </row>
    <row r="16" ht="14.25" customHeight="1"/>
    <row r="17" ht="14.25" customHeight="1"/>
    <row r="18" ht="14.25" customHeight="1">
      <c r="C18" s="3">
        <v>0.0</v>
      </c>
      <c r="D18" s="3">
        <v>0.0365</v>
      </c>
    </row>
    <row r="19" ht="14.25" customHeight="1">
      <c r="C19" s="3">
        <v>6.0</v>
      </c>
      <c r="D19" s="3">
        <v>0.0365</v>
      </c>
    </row>
    <row r="20" ht="14.25" customHeight="1"/>
    <row r="21" ht="14.25" customHeight="1"/>
    <row r="22" ht="14.25" customHeight="1"/>
    <row r="23" ht="14.25" customHeight="1"/>
    <row r="24" ht="14.25" customHeight="1">
      <c r="F24" s="3">
        <f t="shared" ref="F24:F29" si="8">G7*2</f>
        <v>26.1732122</v>
      </c>
    </row>
    <row r="25" ht="14.25" customHeight="1">
      <c r="F25" s="3">
        <f t="shared" si="8"/>
        <v>34.73126645</v>
      </c>
    </row>
    <row r="26" ht="14.25" customHeight="1">
      <c r="F26" s="3">
        <f t="shared" si="8"/>
        <v>46.64761516</v>
      </c>
    </row>
    <row r="27" ht="14.25" customHeight="1">
      <c r="F27" s="3">
        <f t="shared" si="8"/>
        <v>62.07522318</v>
      </c>
    </row>
    <row r="28" ht="14.25" customHeight="1">
      <c r="F28" s="3">
        <f t="shared" si="8"/>
        <v>78.51963661</v>
      </c>
    </row>
    <row r="29" ht="14.25" customHeight="1">
      <c r="F29" s="3">
        <f t="shared" si="8"/>
        <v>89.95554458</v>
      </c>
    </row>
    <row r="30" ht="14.25" customHeight="1"/>
    <row r="31" ht="14.25" customHeight="1"/>
    <row r="32" ht="14.25" customHeight="1"/>
    <row r="33" ht="14.25" customHeight="1"/>
    <row r="34" ht="14.25" customHeight="1">
      <c r="B34" s="3" t="s">
        <v>19</v>
      </c>
      <c r="D34" s="3" t="s">
        <v>20</v>
      </c>
    </row>
    <row r="35" ht="14.25" customHeight="1">
      <c r="B35" s="3">
        <v>138.0</v>
      </c>
      <c r="D35" s="3">
        <f>E4*10^(-7)</f>
        <v>0.000578</v>
      </c>
    </row>
    <row r="36" ht="14.25" customHeight="1"/>
    <row r="37" ht="14.25" customHeight="1">
      <c r="B37" s="3" t="s">
        <v>21</v>
      </c>
    </row>
    <row r="38" ht="14.25" customHeight="1">
      <c r="B38" s="3">
        <v>0.01</v>
      </c>
      <c r="C38" s="3">
        <v>-0.01</v>
      </c>
    </row>
    <row r="39" ht="14.25" customHeight="1"/>
    <row r="40" ht="14.25" customHeight="1">
      <c r="B40" s="3" t="s">
        <v>0</v>
      </c>
      <c r="C40" s="3" t="s">
        <v>22</v>
      </c>
      <c r="D40" s="3" t="s">
        <v>23</v>
      </c>
      <c r="E40" s="3" t="s">
        <v>24</v>
      </c>
    </row>
    <row r="41" ht="14.25" customHeight="1">
      <c r="B41" s="3">
        <v>-5.0</v>
      </c>
      <c r="C41" s="7">
        <v>-1.54</v>
      </c>
      <c r="D41" s="8">
        <f t="shared" ref="D41:D50" si="9">B41*$D$35*$B$35/C41*10^3</f>
        <v>258.974026</v>
      </c>
      <c r="E41" s="8">
        <f t="shared" ref="E41:E45" si="10">D41*$C$38/C41</f>
        <v>1.681649519</v>
      </c>
    </row>
    <row r="42" ht="14.25" customHeight="1">
      <c r="B42" s="3">
        <v>-4.0</v>
      </c>
      <c r="C42" s="7">
        <v>-1.32</v>
      </c>
      <c r="D42" s="8">
        <f t="shared" si="9"/>
        <v>241.7090909</v>
      </c>
      <c r="E42" s="8">
        <f t="shared" si="10"/>
        <v>1.831129477</v>
      </c>
    </row>
    <row r="43" ht="14.25" customHeight="1">
      <c r="B43" s="3">
        <v>-3.0</v>
      </c>
      <c r="C43" s="7">
        <v>-1.0</v>
      </c>
      <c r="D43" s="8">
        <f t="shared" si="9"/>
        <v>239.292</v>
      </c>
      <c r="E43" s="8">
        <f t="shared" si="10"/>
        <v>2.39292</v>
      </c>
    </row>
    <row r="44" ht="14.25" customHeight="1">
      <c r="B44" s="3">
        <v>-2.0</v>
      </c>
      <c r="C44" s="7">
        <v>-0.68</v>
      </c>
      <c r="D44" s="8">
        <f t="shared" si="9"/>
        <v>234.6</v>
      </c>
      <c r="E44" s="8">
        <f t="shared" si="10"/>
        <v>3.45</v>
      </c>
    </row>
    <row r="45" ht="14.25" customHeight="1">
      <c r="B45" s="3">
        <v>-1.0</v>
      </c>
      <c r="C45" s="7">
        <v>-0.31</v>
      </c>
      <c r="D45" s="8">
        <f t="shared" si="9"/>
        <v>257.3032258</v>
      </c>
      <c r="E45" s="8">
        <f t="shared" si="10"/>
        <v>8.300104058</v>
      </c>
    </row>
    <row r="46" ht="14.25" customHeight="1">
      <c r="B46" s="3">
        <v>1.0</v>
      </c>
      <c r="C46" s="9">
        <f>-C45</f>
        <v>0.31</v>
      </c>
      <c r="D46" s="8">
        <f t="shared" si="9"/>
        <v>257.3032258</v>
      </c>
      <c r="E46" s="8">
        <f t="shared" ref="E46:E50" si="11">D46*$B$38/C46</f>
        <v>8.300104058</v>
      </c>
    </row>
    <row r="47" ht="14.25" customHeight="1">
      <c r="B47" s="3">
        <v>2.0</v>
      </c>
      <c r="C47" s="9">
        <f>-C44</f>
        <v>0.68</v>
      </c>
      <c r="D47" s="8">
        <f t="shared" si="9"/>
        <v>234.6</v>
      </c>
      <c r="E47" s="8">
        <f t="shared" si="11"/>
        <v>3.45</v>
      </c>
    </row>
    <row r="48" ht="14.25" customHeight="1">
      <c r="B48" s="3">
        <v>3.0</v>
      </c>
      <c r="C48" s="7">
        <v>1.0</v>
      </c>
      <c r="D48" s="8">
        <f t="shared" si="9"/>
        <v>239.292</v>
      </c>
      <c r="E48" s="8">
        <f t="shared" si="11"/>
        <v>2.39292</v>
      </c>
    </row>
    <row r="49" ht="14.25" customHeight="1">
      <c r="B49" s="3">
        <v>4.0</v>
      </c>
      <c r="C49" s="7">
        <v>1.32</v>
      </c>
      <c r="D49" s="8">
        <f t="shared" si="9"/>
        <v>241.7090909</v>
      </c>
      <c r="E49" s="8">
        <f t="shared" si="11"/>
        <v>1.831129477</v>
      </c>
    </row>
    <row r="50" ht="14.25" customHeight="1">
      <c r="B50" s="3">
        <v>5.0</v>
      </c>
      <c r="C50" s="7">
        <v>1.54</v>
      </c>
      <c r="D50" s="8">
        <f t="shared" si="9"/>
        <v>258.974026</v>
      </c>
      <c r="E50" s="8">
        <f t="shared" si="11"/>
        <v>1.681649519</v>
      </c>
    </row>
    <row r="51" ht="14.25" customHeight="1"/>
    <row r="52" ht="14.25" customHeight="1"/>
    <row r="53" ht="14.25" customHeight="1">
      <c r="B53" s="3">
        <v>-5.0</v>
      </c>
      <c r="C53" s="7">
        <v>-1.54</v>
      </c>
      <c r="D53" s="2">
        <v>0.0</v>
      </c>
    </row>
    <row r="54" ht="14.25" customHeight="1">
      <c r="B54" s="3">
        <v>-4.0</v>
      </c>
      <c r="C54" s="7">
        <v>-1.32</v>
      </c>
      <c r="D54" s="2">
        <v>0.0</v>
      </c>
    </row>
    <row r="55" ht="14.25" customHeight="1">
      <c r="B55" s="3">
        <v>-3.0</v>
      </c>
      <c r="C55" s="7">
        <v>-1.0</v>
      </c>
      <c r="D55" s="2">
        <v>0.0</v>
      </c>
    </row>
    <row r="56" ht="14.25" customHeight="1">
      <c r="B56" s="3">
        <v>-2.0</v>
      </c>
      <c r="C56" s="7">
        <v>-0.68</v>
      </c>
      <c r="D56" s="2">
        <v>0.0</v>
      </c>
    </row>
    <row r="57" ht="14.25" customHeight="1">
      <c r="B57" s="3">
        <v>-1.0</v>
      </c>
      <c r="C57" s="7">
        <v>-0.31</v>
      </c>
      <c r="D57" s="2">
        <v>0.0</v>
      </c>
    </row>
    <row r="58" ht="14.25" customHeight="1">
      <c r="B58" s="3">
        <v>1.0</v>
      </c>
      <c r="C58" s="9">
        <v>0.31</v>
      </c>
      <c r="D58" s="2">
        <v>0.0</v>
      </c>
    </row>
    <row r="59" ht="14.25" customHeight="1">
      <c r="B59" s="3">
        <v>2.0</v>
      </c>
      <c r="C59" s="9">
        <v>0.68</v>
      </c>
      <c r="D59" s="2">
        <v>0.0</v>
      </c>
    </row>
    <row r="60" ht="14.25" customHeight="1">
      <c r="B60" s="3">
        <v>3.0</v>
      </c>
      <c r="C60" s="7">
        <v>1.0</v>
      </c>
      <c r="D60" s="2">
        <v>0.0</v>
      </c>
    </row>
    <row r="61" ht="14.25" customHeight="1">
      <c r="B61" s="3">
        <v>4.0</v>
      </c>
      <c r="C61" s="7">
        <v>1.32</v>
      </c>
      <c r="D61" s="2">
        <v>0.0</v>
      </c>
    </row>
    <row r="62" ht="14.25" customHeight="1">
      <c r="B62" s="3">
        <v>5.0</v>
      </c>
      <c r="C62" s="7">
        <v>1.54</v>
      </c>
      <c r="D62" s="2">
        <v>0.0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